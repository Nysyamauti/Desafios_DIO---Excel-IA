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60" windowWidth="24900" windowHeight="12192" tabRatio="98"/>
  </bookViews>
  <sheets>
    <sheet name="APP" sheetId="1" r:id="rId1"/>
    <sheet name="Plan2" sheetId="2" r:id="rId2"/>
  </sheets>
  <definedNames>
    <definedName name="aporte">APP!$D$15</definedName>
    <definedName name="perfil_valor">APP!$C$29</definedName>
    <definedName name="qtd_anos">APP!$D$16</definedName>
    <definedName name="rendimento_carteira">APP!$D$11</definedName>
    <definedName name="salario">APP!$D$10</definedName>
    <definedName name="taxa_mensal">APP!$D$17</definedName>
  </definedNames>
  <calcPr calcId="145621"/>
</workbook>
</file>

<file path=xl/calcChain.xml><?xml version="1.0" encoding="utf-8"?>
<calcChain xmlns="http://schemas.openxmlformats.org/spreadsheetml/2006/main">
  <c r="C33" i="1" l="1"/>
  <c r="D33" i="1" s="1"/>
  <c r="C34" i="1"/>
  <c r="D34" i="1" s="1"/>
  <c r="C35" i="1"/>
  <c r="D35" i="1" s="1"/>
  <c r="C36" i="1"/>
  <c r="D36" i="1" s="1"/>
  <c r="C37" i="1"/>
  <c r="D37" i="1" s="1"/>
  <c r="C32" i="1"/>
  <c r="D32" i="1" s="1"/>
  <c r="B16" i="2"/>
  <c r="B17" i="2"/>
  <c r="B18" i="2"/>
  <c r="B19" i="2"/>
  <c r="B20" i="2"/>
  <c r="B15" i="2"/>
  <c r="B14" i="2"/>
  <c r="B11" i="2"/>
  <c r="B12" i="2"/>
  <c r="B13" i="2"/>
  <c r="B10" i="2"/>
  <c r="B9" i="2"/>
  <c r="B4" i="2"/>
  <c r="B5" i="2"/>
  <c r="B6" i="2"/>
  <c r="B7" i="2"/>
  <c r="B8" i="2"/>
  <c r="B3" i="2"/>
  <c r="C29" i="1"/>
  <c r="D12" i="1"/>
  <c r="D18" i="1"/>
  <c r="D19" i="1" s="1"/>
  <c r="C26" i="1"/>
  <c r="D26" i="1" s="1"/>
  <c r="C25" i="1"/>
  <c r="D25" i="1" s="1"/>
  <c r="C24" i="1"/>
  <c r="D24" i="1" s="1"/>
  <c r="C23" i="1"/>
  <c r="D23" i="1" s="1"/>
  <c r="C22" i="1"/>
  <c r="D22" i="1" s="1"/>
  <c r="D38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<sst xmlns="http://schemas.openxmlformats.org/spreadsheetml/2006/main" count="69" uniqueCount="33">
  <si>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</si>
  <si>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</si>
  <si>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</si>
  <si>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</si>
  <si>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</si>
  <si>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</si>
  <si>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CENÁRIOS</t>
  </si>
  <si>
    <t>DIVIDENDOS</t>
  </si>
  <si>
    <t>CONFIGURAÇÕES</t>
  </si>
  <si>
    <t>Salário</t>
  </si>
  <si>
    <t>Rendimento Carteira</t>
  </si>
  <si>
    <t>Sugestão de Investimento</t>
  </si>
  <si>
    <r>
      <t xml:space="preserve">Quanto em </t>
    </r>
    <r>
      <rPr>
        <b/>
        <sz val="12"/>
        <color theme="1"/>
        <rFont val="Calibri"/>
        <family val="2"/>
        <scheme val="minor"/>
      </rPr>
      <t>2 Anos</t>
    </r>
    <r>
      <rPr>
        <sz val="12"/>
        <color theme="1"/>
        <rFont val="Calibri"/>
        <family val="2"/>
        <scheme val="minor"/>
      </rPr>
      <t>?</t>
    </r>
  </si>
  <si>
    <r>
      <t xml:space="preserve">Quanto em </t>
    </r>
    <r>
      <rPr>
        <b/>
        <sz val="12"/>
        <color theme="1"/>
        <rFont val="Calibri"/>
        <family val="2"/>
        <scheme val="minor"/>
      </rPr>
      <t>5 Anos</t>
    </r>
    <r>
      <rPr>
        <sz val="12"/>
        <color theme="1"/>
        <rFont val="Calibri"/>
        <family val="2"/>
        <scheme val="minor"/>
      </rPr>
      <t>?</t>
    </r>
  </si>
  <si>
    <r>
      <t xml:space="preserve">Quanto em </t>
    </r>
    <r>
      <rPr>
        <b/>
        <sz val="12"/>
        <color theme="1"/>
        <rFont val="Calibri"/>
        <family val="2"/>
        <scheme val="minor"/>
      </rPr>
      <t>10 Anos</t>
    </r>
    <r>
      <rPr>
        <sz val="12"/>
        <color theme="1"/>
        <rFont val="Calibri"/>
        <family val="2"/>
        <scheme val="minor"/>
      </rPr>
      <t>?</t>
    </r>
  </si>
  <si>
    <r>
      <t xml:space="preserve">Quanto em </t>
    </r>
    <r>
      <rPr>
        <b/>
        <sz val="12"/>
        <color theme="1"/>
        <rFont val="Calibri"/>
        <family val="2"/>
        <scheme val="minor"/>
      </rPr>
      <t>20 Anos</t>
    </r>
    <r>
      <rPr>
        <sz val="12"/>
        <color theme="1"/>
        <rFont val="Calibri"/>
        <family val="2"/>
        <scheme val="minor"/>
      </rPr>
      <t>?</t>
    </r>
  </si>
  <si>
    <r>
      <t xml:space="preserve">Quanto em </t>
    </r>
    <r>
      <rPr>
        <b/>
        <sz val="12"/>
        <color theme="1"/>
        <rFont val="Calibri"/>
        <family val="2"/>
        <scheme val="minor"/>
      </rPr>
      <t>30 Anos</t>
    </r>
    <r>
      <rPr>
        <sz val="12"/>
        <color theme="1"/>
        <rFont val="Calibri"/>
        <family val="2"/>
        <scheme val="minor"/>
      </rPr>
      <t>?</t>
    </r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</si>
  <si>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</si>
  <si>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</si>
  <si>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</si>
  <si>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</si>
  <si>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</si>
  <si>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</si>
  <si>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</si>
  <si>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</si>
  <si>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</si>
  <si>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</si>
  <si>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</si>
  <si>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</si>
  <si>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Agressivo</t>
  </si>
  <si>
    <t>%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</si>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</sst>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\ #,##0.00;[Red]\-&quot;R$&quot;\ #,##0.00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rgb="FF9C65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auto="1"/>
      </left>
      <right style="thin">
        <color theme="0" tint="-0.14999847407452621"/>
      </right>
      <top style="thin">
        <color theme="0" tint="-0.14999847407452621"/>
      </top>
      <bottom style="medium">
        <color auto="1"/>
      </bottom>
      <diagonal/>
    </border>
    <border>
      <left style="thin">
        <color theme="0" tint="-0.14999847407452621"/>
      </left>
      <right style="medium">
        <color auto="1"/>
      </right>
      <top style="thin">
        <color theme="0" tint="-0.14999847407452621"/>
      </top>
      <bottom style="medium">
        <color auto="1"/>
      </bottom>
      <diagonal/>
    </border>
    <border>
      <left style="medium">
        <color auto="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auto="1"/>
      </right>
      <top/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auto="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auto="1"/>
      </left>
      <right/>
      <top style="medium">
        <color theme="0" tint="-0.14996795556505021"/>
      </top>
      <bottom style="medium">
        <color auto="1"/>
      </bottom>
      <diagonal/>
    </border>
    <border>
      <left/>
      <right style="medium">
        <color auto="1"/>
      </right>
      <top style="medium">
        <color theme="0" tint="-0.14996795556505021"/>
      </top>
      <bottom style="medium">
        <color auto="1"/>
      </bottom>
      <diagonal/>
    </border>
    <border>
      <left style="medium">
        <color auto="1"/>
      </left>
      <right/>
      <top/>
      <bottom style="medium">
        <color theme="0" tint="-0.14996795556505021"/>
      </bottom>
      <diagonal/>
    </border>
    <border>
      <left/>
      <right style="medium">
        <color auto="1"/>
      </right>
      <top/>
      <bottom style="medium">
        <color theme="0" tint="-0.14996795556505021"/>
      </bottom>
      <diagonal/>
    </border>
    <border>
      <left style="medium">
        <color auto="1"/>
      </left>
      <right style="medium">
        <color auto="1"/>
      </right>
      <top style="medium">
        <color theme="0" tint="-0.1499679555650502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auto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auto="1"/>
      </right>
      <top style="thin">
        <color theme="0" tint="-0.1499984740745262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theme="0" tint="-0.14999847407452621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4" borderId="0" applyNumberFormat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left" vertical="center"/>
    </xf>
    <xf numFmtId="0" fontId="2" fillId="5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7" borderId="16" xfId="0" applyNumberFormat="1" applyFont="1" applyFill="1" applyBorder="1" applyAlignment="1">
      <alignment horizontal="center" vertical="center"/>
    </xf>
    <xf numFmtId="164" fontId="3" fillId="7" borderId="17" xfId="0" applyNumberFormat="1" applyFont="1" applyFill="1" applyBorder="1" applyAlignment="1">
      <alignment horizontal="center" vertical="center"/>
    </xf>
    <xf numFmtId="164" fontId="3" fillId="7" borderId="15" xfId="0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0" fontId="3" fillId="0" borderId="18" xfId="0" applyNumberFormat="1" applyFont="1" applyBorder="1" applyAlignment="1">
      <alignment horizontal="center" vertical="center"/>
    </xf>
    <xf numFmtId="8" fontId="3" fillId="3" borderId="18" xfId="0" applyNumberFormat="1" applyFont="1" applyFill="1" applyBorder="1" applyAlignment="1">
      <alignment horizontal="center" vertical="center"/>
    </xf>
    <xf numFmtId="8" fontId="3" fillId="3" borderId="19" xfId="0" applyNumberFormat="1" applyFont="1" applyFill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0" fontId="3" fillId="0" borderId="10" xfId="1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indent="4"/>
    </xf>
    <xf numFmtId="0" fontId="1" fillId="3" borderId="1" xfId="0" applyFont="1" applyFill="1" applyBorder="1" applyAlignment="1">
      <alignment horizontal="left" vertical="center" indent="4"/>
    </xf>
    <xf numFmtId="0" fontId="1" fillId="3" borderId="2" xfId="0" applyFont="1" applyFill="1" applyBorder="1" applyAlignment="1">
      <alignment horizontal="left" vertical="center" indent="4"/>
    </xf>
    <xf numFmtId="164" fontId="3" fillId="3" borderId="12" xfId="0" applyNumberFormat="1" applyFont="1" applyFill="1" applyBorder="1" applyAlignment="1">
      <alignment horizontal="center" vertical="center"/>
    </xf>
    <xf numFmtId="0" fontId="7" fillId="4" borderId="0" xfId="2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9" fontId="1" fillId="0" borderId="22" xfId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9" fontId="1" fillId="0" borderId="0" xfId="1" applyFont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64" fontId="3" fillId="10" borderId="0" xfId="0" applyNumberFormat="1" applyFont="1" applyFill="1" applyAlignment="1">
      <alignment horizontal="center" vertical="center"/>
    </xf>
    <xf numFmtId="164" fontId="3" fillId="8" borderId="0" xfId="0" applyNumberFormat="1" applyFont="1" applyFill="1" applyAlignment="1">
      <alignment horizontal="center" vertical="center"/>
    </xf>
    <xf numFmtId="0" fontId="7" fillId="4" borderId="0" xfId="2" applyFont="1" applyAlignment="1">
      <alignment horizontal="center" vertical="center"/>
    </xf>
    <xf numFmtId="164" fontId="3" fillId="3" borderId="0" xfId="0" applyNumberFormat="1" applyFont="1" applyFill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 indent="4"/>
    </xf>
    <xf numFmtId="0" fontId="1" fillId="0" borderId="14" xfId="0" applyFont="1" applyBorder="1" applyAlignment="1">
      <alignment horizontal="left" vertical="center" indent="4"/>
    </xf>
    <xf numFmtId="0" fontId="1" fillId="0" borderId="9" xfId="0" applyFont="1" applyBorder="1" applyAlignment="1">
      <alignment horizontal="left" vertical="center" indent="4"/>
    </xf>
    <xf numFmtId="0" fontId="1" fillId="0" borderId="10" xfId="0" applyFont="1" applyBorder="1" applyAlignment="1">
      <alignment horizontal="left" vertical="center" indent="4"/>
    </xf>
    <xf numFmtId="0" fontId="3" fillId="3" borderId="9" xfId="0" applyFont="1" applyFill="1" applyBorder="1" applyAlignment="1">
      <alignment horizontal="left" vertical="center" indent="4"/>
    </xf>
    <xf numFmtId="0" fontId="3" fillId="3" borderId="10" xfId="0" applyFont="1" applyFill="1" applyBorder="1" applyAlignment="1">
      <alignment horizontal="left" vertical="center" indent="4"/>
    </xf>
    <xf numFmtId="0" fontId="3" fillId="3" borderId="11" xfId="0" applyFont="1" applyFill="1" applyBorder="1" applyAlignment="1">
      <alignment horizontal="left" vertical="center" indent="4"/>
    </xf>
    <xf numFmtId="0" fontId="3" fillId="3" borderId="12" xfId="0" applyFont="1" applyFill="1" applyBorder="1" applyAlignment="1">
      <alignment horizontal="left" vertical="center" indent="4"/>
    </xf>
    <xf numFmtId="0" fontId="6" fillId="6" borderId="7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 indent="4"/>
    </xf>
    <xf numFmtId="0" fontId="3" fillId="3" borderId="14" xfId="0" applyFont="1" applyFill="1" applyBorder="1" applyAlignment="1">
      <alignment horizontal="left" vertical="center" indent="4"/>
    </xf>
  </cellXfs>
  <cellStyles count="3">
    <cellStyle name="Neutra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APP!$C$31</c:f>
              <c:strCache>
                <c:ptCount val="1"/>
                <c:pt idx="0">
                  <c:v>Percentual Sugerido</c:v>
                </c:pt>
              </c:strCache>
            </c:strRef>
          </c:tx>
          <c:cat>
            <c:strRef>
              <c:f>APP!$B$32:$B$37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APP!$C$32:$C$37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601980</xdr:colOff>
      <xdr:row>1</xdr:row>
      <xdr:rowOff>99060</xdr:rowOff>
    </xdr:from>
    <xdr:to>
      <xdr:col>3</xdr:col>
      <xdr:colOff>213360</xdr:colOff>
      <xdr:row>6</xdr:row>
      <xdr:rowOff>83820</xdr:rowOff>
    </xdr:to>
    <xdr:sp macro="" textlink="">
      <xdr:nvSpPr>
        <xdr:cNvPr id="2" name="CaixaDeTexto 1"/>
        <xdr:cNvSpPr txBox="1"/>
      </xdr:nvSpPr>
      <xdr:spPr>
        <a:xfrm>
          <a:off x="601980" y="281940"/>
          <a:ext cx="8389620" cy="89916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/>
            <a:t>Controle de investimento imobiliário</a:t>
          </a:r>
        </a:p>
      </xdr:txBody>
    </xdr:sp>
    <xdr:clientData/>
  </xdr:twoCellAnchor>
  <xdr:twoCellAnchor>
    <xdr:from>
      <xdr:col>1</xdr:col>
      <xdr:colOff>868680</xdr:colOff>
      <xdr:row>40</xdr:row>
      <xdr:rowOff>99060</xdr:rowOff>
    </xdr:from>
    <xdr:to>
      <xdr:col>3</xdr:col>
      <xdr:colOff>1021080</xdr:colOff>
      <xdr:row>60</xdr:row>
      <xdr:rowOff>30480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H38"/>
  <sheetViews>
    <sheetView showGridLines="0" tabSelected="1" zoomScale="130" zoomScaleNormal="130" workbookViewId="0">
      <selection activeCell="D12" sqref="D12"/>
    </sheetView>
  </sheetViews>
  <sheetFormatPr defaultColWidth="0" defaultRowHeight="14.4" x14ac:dyDescent="0.3"/>
  <cols>
    <col min="1" max="1" width="8.88671875" customWidth="1"/>
    <col min="2" max="2" width="51.88671875" customWidth="1"/>
    <col min="3" max="3" width="32.33203125" bestFit="1" customWidth="1"/>
    <col min="4" max="4" width="21.33203125" customWidth="1"/>
    <col min="5" max="8" width="8.88671875" customWidth="1"/>
    <col min="9" max="16384" width="8.88671875" hidden="1"/>
  </cols>
  <sheetData>
    <row r="8" spans="2:4" ht="15" thickBot="1" x14ac:dyDescent="0.35"/>
    <row r="9" spans="2:4" ht="26.4" thickBot="1" x14ac:dyDescent="0.35">
      <c r="B9" s="51" t="s">
        <v>8</v>
      </c>
      <c r="C9" s="52"/>
      <c r="D9" s="53"/>
    </row>
    <row r="10" spans="2:4" ht="19.95" customHeight="1" thickBot="1" x14ac:dyDescent="0.35">
      <c r="B10" s="54" t="s">
        <v>9</v>
      </c>
      <c r="C10" s="55"/>
      <c r="D10" s="16">
        <v>5000</v>
      </c>
    </row>
    <row r="11" spans="2:4" ht="19.95" customHeight="1" thickBot="1" x14ac:dyDescent="0.35">
      <c r="B11" s="47" t="s">
        <v>10</v>
      </c>
      <c r="C11" s="48"/>
      <c r="D11" s="17">
        <v>6.0000000000000001E-3</v>
      </c>
    </row>
    <row r="12" spans="2:4" ht="19.95" customHeight="1" thickBot="1" x14ac:dyDescent="0.35">
      <c r="B12" s="49" t="s">
        <v>11</v>
      </c>
      <c r="C12" s="50"/>
      <c r="D12" s="21">
        <f>salario*30%</f>
        <v>1500</v>
      </c>
    </row>
    <row r="13" spans="2:4" ht="15" thickBot="1" x14ac:dyDescent="0.35"/>
    <row r="14" spans="2:4" s="1" customFormat="1" ht="30" customHeight="1" thickBot="1" x14ac:dyDescent="0.35">
      <c r="B14" s="40" t="s">
        <v>5</v>
      </c>
      <c r="C14" s="41"/>
      <c r="D14" s="42"/>
    </row>
    <row r="15" spans="2:4" ht="19.95" customHeight="1" thickBot="1" x14ac:dyDescent="0.35">
      <c r="B15" s="43" t="s">
        <v>0</v>
      </c>
      <c r="C15" s="44"/>
      <c r="D15" s="15">
        <v>500</v>
      </c>
    </row>
    <row r="16" spans="2:4" ht="19.95" customHeight="1" thickBot="1" x14ac:dyDescent="0.35">
      <c r="B16" s="45" t="s">
        <v>1</v>
      </c>
      <c r="C16" s="46"/>
      <c r="D16" s="11">
        <v>5</v>
      </c>
    </row>
    <row r="17" spans="2:5" ht="19.95" customHeight="1" thickBot="1" x14ac:dyDescent="0.35">
      <c r="B17" s="45" t="s">
        <v>2</v>
      </c>
      <c r="C17" s="46"/>
      <c r="D17" s="12">
        <v>1.0789999999999999E-2</v>
      </c>
    </row>
    <row r="18" spans="2:5" ht="19.95" customHeight="1" thickBot="1" x14ac:dyDescent="0.35">
      <c r="B18" s="47" t="s">
        <v>3</v>
      </c>
      <c r="C18" s="48"/>
      <c r="D18" s="13">
        <f>FV(taxa_mensal,qtd_anos*12,aporte*-1)</f>
        <v>41888.456999243819</v>
      </c>
    </row>
    <row r="19" spans="2:5" ht="19.95" customHeight="1" thickBot="1" x14ac:dyDescent="0.35">
      <c r="B19" s="49" t="s">
        <v>4</v>
      </c>
      <c r="C19" s="50"/>
      <c r="D19" s="14">
        <f>D18*$D$11</f>
        <v>251.33074199546292</v>
      </c>
    </row>
    <row r="20" spans="2:5" ht="15" thickBot="1" x14ac:dyDescent="0.35"/>
    <row r="21" spans="2:5" ht="26.4" thickBot="1" x14ac:dyDescent="0.35">
      <c r="B21" s="40" t="s">
        <v>6</v>
      </c>
      <c r="C21" s="42"/>
      <c r="D21" s="4" t="s">
        <v>7</v>
      </c>
      <c r="E21" s="2"/>
    </row>
    <row r="22" spans="2:5" ht="19.95" customHeight="1" thickBot="1" x14ac:dyDescent="0.35">
      <c r="B22" s="18" t="s">
        <v>12</v>
      </c>
      <c r="C22" s="9">
        <f>FV($D$17,2*12,$D$15*-1)</f>
        <v>13613.813648822608</v>
      </c>
      <c r="D22" s="6">
        <f>C22*rendimento_carteira</f>
        <v>81.682881892935654</v>
      </c>
      <c r="E22" s="3"/>
    </row>
    <row r="23" spans="2:5" ht="19.95" customHeight="1" thickBot="1" x14ac:dyDescent="0.35">
      <c r="B23" s="19" t="s">
        <v>13</v>
      </c>
      <c r="C23" s="9">
        <f>FV($D$17,5*12,$D$15*-1)</f>
        <v>41888.456999243819</v>
      </c>
      <c r="D23" s="7">
        <f>C23*rendimento_carteira</f>
        <v>251.33074199546292</v>
      </c>
      <c r="E23" s="3"/>
    </row>
    <row r="24" spans="2:5" ht="19.95" customHeight="1" thickBot="1" x14ac:dyDescent="0.35">
      <c r="B24" s="19" t="s">
        <v>14</v>
      </c>
      <c r="C24" s="9">
        <f>FV($D$17,10*12,$D$15*-1)</f>
        <v>121642.1062650861</v>
      </c>
      <c r="D24" s="7">
        <f>C24*rendimento_carteira</f>
        <v>729.85263759051657</v>
      </c>
      <c r="E24" s="3"/>
    </row>
    <row r="25" spans="2:5" ht="19.95" customHeight="1" thickBot="1" x14ac:dyDescent="0.35">
      <c r="B25" s="19" t="s">
        <v>15</v>
      </c>
      <c r="C25" s="9">
        <f>FV($D$17,20*12,$D$15*-1)</f>
        <v>562599.20004854025</v>
      </c>
      <c r="D25" s="7">
        <f>C25*rendimento_carteira</f>
        <v>3375.5952002912418</v>
      </c>
      <c r="E25" s="3"/>
    </row>
    <row r="26" spans="2:5" ht="19.95" customHeight="1" thickBot="1" x14ac:dyDescent="0.35">
      <c r="B26" s="20" t="s">
        <v>16</v>
      </c>
      <c r="C26" s="10">
        <f>FV($D$17,30*12,$D$15*-1)</f>
        <v>2161084.8275023573</v>
      </c>
      <c r="D26" s="8">
        <f>C26*rendimento_carteira</f>
        <v>12966.508965014144</v>
      </c>
      <c r="E26" s="3"/>
    </row>
    <row r="28" spans="2:5" ht="19.95" customHeight="1" x14ac:dyDescent="0.3">
      <c r="B28" s="22" t="s">
        <v>18</v>
      </c>
      <c r="C28" s="38" t="s">
        <v>29</v>
      </c>
      <c r="D28" s="38"/>
    </row>
    <row r="29" spans="2:5" ht="19.95" customHeight="1" x14ac:dyDescent="0.3">
      <c r="B29" s="23" t="s">
        <v>17</v>
      </c>
      <c r="C29" s="39">
        <f>aporte</f>
        <v>500</v>
      </c>
      <c r="D29" s="39"/>
    </row>
    <row r="31" spans="2:5" ht="19.95" customHeight="1" x14ac:dyDescent="0.3">
      <c r="B31" s="26" t="s">
        <v>19</v>
      </c>
      <c r="C31" s="26" t="s">
        <v>20</v>
      </c>
      <c r="D31" s="26" t="s">
        <v>21</v>
      </c>
    </row>
    <row r="32" spans="2:5" ht="19.95" customHeight="1" x14ac:dyDescent="0.3">
      <c r="B32" s="25" t="s">
        <v>22</v>
      </c>
      <c r="C32" s="27">
        <f>VLOOKUP($C$28&amp;"-"&amp;B32,Plan2!$B:$E,4,)</f>
        <v>0.5</v>
      </c>
      <c r="D32" s="37">
        <f t="shared" ref="D32:D37" si="0">perfil_valor*C32</f>
        <v>250</v>
      </c>
    </row>
    <row r="33" spans="2:4" ht="19.95" customHeight="1" x14ac:dyDescent="0.3">
      <c r="B33" s="25" t="s">
        <v>23</v>
      </c>
      <c r="C33" s="27">
        <f>VLOOKUP($C$28&amp;"-"&amp;B33,Plan2!$B:$E,4,)</f>
        <v>0.1</v>
      </c>
      <c r="D33" s="37">
        <f t="shared" si="0"/>
        <v>50</v>
      </c>
    </row>
    <row r="34" spans="2:4" ht="19.95" customHeight="1" x14ac:dyDescent="0.3">
      <c r="B34" s="25" t="s">
        <v>24</v>
      </c>
      <c r="C34" s="27">
        <f>VLOOKUP($C$28&amp;"-"&amp;B34,Plan2!$B:$E,4,)</f>
        <v>0.05</v>
      </c>
      <c r="D34" s="37">
        <f t="shared" si="0"/>
        <v>25</v>
      </c>
    </row>
    <row r="35" spans="2:4" ht="19.95" customHeight="1" x14ac:dyDescent="0.3">
      <c r="B35" s="25" t="s">
        <v>25</v>
      </c>
      <c r="C35" s="27">
        <f>VLOOKUP($C$28&amp;"-"&amp;B35,Plan2!$B:$E,4,)</f>
        <v>0.05</v>
      </c>
      <c r="D35" s="37">
        <f t="shared" si="0"/>
        <v>25</v>
      </c>
    </row>
    <row r="36" spans="2:4" ht="19.95" customHeight="1" x14ac:dyDescent="0.3">
      <c r="B36" s="25" t="s">
        <v>26</v>
      </c>
      <c r="C36" s="27">
        <f>VLOOKUP($C$28&amp;"-"&amp;B36,Plan2!$B:$E,4,)</f>
        <v>0.2</v>
      </c>
      <c r="D36" s="37">
        <f t="shared" si="0"/>
        <v>100</v>
      </c>
    </row>
    <row r="37" spans="2:4" ht="19.95" customHeight="1" x14ac:dyDescent="0.3">
      <c r="B37" s="25" t="s">
        <v>27</v>
      </c>
      <c r="C37" s="27">
        <f>VLOOKUP($C$28&amp;"-"&amp;B37,Plan2!$B:$E,4,)</f>
        <v>0.1</v>
      </c>
      <c r="D37" s="37">
        <f t="shared" si="0"/>
        <v>50</v>
      </c>
    </row>
    <row r="38" spans="2:4" ht="19.95" customHeight="1" x14ac:dyDescent="0.3">
      <c r="B38" s="35"/>
      <c r="C38" s="35"/>
      <c r="D38" s="36">
        <f>SUM(D32:D37)</f>
        <v>500</v>
      </c>
    </row>
  </sheetData>
  <mergeCells count="13">
    <mergeCell ref="B9:D9"/>
    <mergeCell ref="B10:C10"/>
    <mergeCell ref="B11:C11"/>
    <mergeCell ref="B12:C12"/>
    <mergeCell ref="B21:C21"/>
    <mergeCell ref="C28:D28"/>
    <mergeCell ref="C29:D29"/>
    <mergeCell ref="B14:D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C28:D28">
      <formula1>"Agressivo,Moderado,Conservador"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0"/>
  <sheetViews>
    <sheetView workbookViewId="0">
      <selection activeCell="E12" sqref="E12"/>
    </sheetView>
  </sheetViews>
  <sheetFormatPr defaultRowHeight="14.4" x14ac:dyDescent="0.3"/>
  <cols>
    <col min="2" max="2" width="32.33203125" bestFit="1" customWidth="1"/>
    <col min="3" max="3" width="21" customWidth="1"/>
    <col min="4" max="4" width="19.5546875" bestFit="1" customWidth="1"/>
  </cols>
  <sheetData>
    <row r="2" spans="2:5" ht="19.95" customHeight="1" x14ac:dyDescent="0.3">
      <c r="B2" s="28" t="s">
        <v>31</v>
      </c>
      <c r="C2" s="28" t="s">
        <v>18</v>
      </c>
      <c r="D2" s="29" t="s">
        <v>19</v>
      </c>
      <c r="E2" s="29" t="s">
        <v>30</v>
      </c>
    </row>
    <row r="3" spans="2:5" ht="19.95" customHeight="1" x14ac:dyDescent="0.3">
      <c r="B3" s="5" t="str">
        <f>C3&amp;"-"&amp;D3</f>
        <v>Conservador-PAPEL</v>
      </c>
      <c r="C3" s="5" t="s">
        <v>28</v>
      </c>
      <c r="D3" s="25" t="s">
        <v>22</v>
      </c>
      <c r="E3" s="27">
        <v>0.3</v>
      </c>
    </row>
    <row r="4" spans="2:5" ht="19.95" customHeight="1" x14ac:dyDescent="0.3">
      <c r="B4" s="5" t="str">
        <f t="shared" ref="B4:B20" si="0">C4&amp;"-"&amp;D4</f>
        <v>Conservador-TIJOLO</v>
      </c>
      <c r="C4" s="5" t="s">
        <v>28</v>
      </c>
      <c r="D4" s="25" t="s">
        <v>23</v>
      </c>
      <c r="E4" s="27">
        <v>0.5</v>
      </c>
    </row>
    <row r="5" spans="2:5" ht="19.95" customHeight="1" x14ac:dyDescent="0.3">
      <c r="B5" s="5" t="str">
        <f t="shared" si="0"/>
        <v>Conservador-HÍBRIDOS</v>
      </c>
      <c r="C5" s="5" t="s">
        <v>28</v>
      </c>
      <c r="D5" s="25" t="s">
        <v>24</v>
      </c>
      <c r="E5" s="27">
        <v>0.1</v>
      </c>
    </row>
    <row r="6" spans="2:5" ht="19.95" customHeight="1" x14ac:dyDescent="0.3">
      <c r="B6" s="5" t="str">
        <f t="shared" si="0"/>
        <v>Conservador-FOFs</v>
      </c>
      <c r="C6" s="5" t="s">
        <v>28</v>
      </c>
      <c r="D6" s="25" t="s">
        <v>25</v>
      </c>
      <c r="E6" s="27">
        <v>0.1</v>
      </c>
    </row>
    <row r="7" spans="2:5" ht="19.95" customHeight="1" x14ac:dyDescent="0.3">
      <c r="B7" s="5" t="str">
        <f t="shared" si="0"/>
        <v>Conservador-DESENVOLVIMENTO</v>
      </c>
      <c r="C7" s="5" t="s">
        <v>28</v>
      </c>
      <c r="D7" s="25" t="s">
        <v>26</v>
      </c>
      <c r="E7" s="27">
        <v>0</v>
      </c>
    </row>
    <row r="8" spans="2:5" ht="19.95" customHeight="1" thickBot="1" x14ac:dyDescent="0.35">
      <c r="B8" s="30" t="str">
        <f t="shared" si="0"/>
        <v>Conservador-HOTELARIAS</v>
      </c>
      <c r="C8" s="30" t="s">
        <v>28</v>
      </c>
      <c r="D8" s="31" t="s">
        <v>27</v>
      </c>
      <c r="E8" s="32">
        <v>0</v>
      </c>
    </row>
    <row r="9" spans="2:5" ht="19.95" customHeight="1" thickTop="1" x14ac:dyDescent="0.3">
      <c r="B9" s="5" t="str">
        <f t="shared" si="0"/>
        <v>Moderado-PAPEL</v>
      </c>
      <c r="C9" s="5" t="s">
        <v>32</v>
      </c>
      <c r="D9" s="25" t="s">
        <v>22</v>
      </c>
      <c r="E9" s="27">
        <v>0.32</v>
      </c>
    </row>
    <row r="10" spans="2:5" ht="19.95" customHeight="1" x14ac:dyDescent="0.3">
      <c r="B10" s="5" t="str">
        <f t="shared" si="0"/>
        <v>Moderado-TIJOLO</v>
      </c>
      <c r="C10" s="5" t="s">
        <v>32</v>
      </c>
      <c r="D10" s="25" t="s">
        <v>23</v>
      </c>
      <c r="E10" s="27">
        <v>0.35</v>
      </c>
    </row>
    <row r="11" spans="2:5" ht="19.95" customHeight="1" x14ac:dyDescent="0.3">
      <c r="B11" s="5" t="str">
        <f t="shared" si="0"/>
        <v>Moderado-HÍBRIDOS</v>
      </c>
      <c r="C11" s="5" t="s">
        <v>32</v>
      </c>
      <c r="D11" s="25" t="s">
        <v>24</v>
      </c>
      <c r="E11" s="27">
        <v>0.08</v>
      </c>
    </row>
    <row r="12" spans="2:5" ht="19.95" customHeight="1" x14ac:dyDescent="0.3">
      <c r="B12" s="5" t="str">
        <f t="shared" si="0"/>
        <v>Moderado-FOFs</v>
      </c>
      <c r="C12" s="5" t="s">
        <v>32</v>
      </c>
      <c r="D12" s="25" t="s">
        <v>25</v>
      </c>
      <c r="E12" s="27">
        <v>0.05</v>
      </c>
    </row>
    <row r="13" spans="2:5" ht="19.95" customHeight="1" x14ac:dyDescent="0.3">
      <c r="B13" s="5" t="str">
        <f t="shared" si="0"/>
        <v>Moderado-DESENVOLVIMENTO</v>
      </c>
      <c r="C13" s="5" t="s">
        <v>32</v>
      </c>
      <c r="D13" s="25" t="s">
        <v>26</v>
      </c>
      <c r="E13" s="27">
        <v>0.1</v>
      </c>
    </row>
    <row r="14" spans="2:5" ht="19.95" customHeight="1" thickBot="1" x14ac:dyDescent="0.35">
      <c r="B14" s="30" t="str">
        <f t="shared" si="0"/>
        <v>Moderado-HOTELARIAS</v>
      </c>
      <c r="C14" s="30" t="s">
        <v>32</v>
      </c>
      <c r="D14" s="31" t="s">
        <v>27</v>
      </c>
      <c r="E14" s="32">
        <v>0.1</v>
      </c>
    </row>
    <row r="15" spans="2:5" ht="19.95" customHeight="1" thickTop="1" x14ac:dyDescent="0.3">
      <c r="B15" s="5" t="str">
        <f t="shared" si="0"/>
        <v>Agressivo-PAPEL</v>
      </c>
      <c r="C15" s="24" t="s">
        <v>29</v>
      </c>
      <c r="D15" s="25" t="s">
        <v>22</v>
      </c>
      <c r="E15" s="27">
        <v>0.5</v>
      </c>
    </row>
    <row r="16" spans="2:5" ht="19.95" customHeight="1" x14ac:dyDescent="0.3">
      <c r="B16" s="5" t="str">
        <f t="shared" si="0"/>
        <v>Agressivo-TIJOLO</v>
      </c>
      <c r="C16" s="24" t="s">
        <v>29</v>
      </c>
      <c r="D16" s="25" t="s">
        <v>23</v>
      </c>
      <c r="E16" s="27">
        <v>0.1</v>
      </c>
    </row>
    <row r="17" spans="2:5" ht="19.95" customHeight="1" x14ac:dyDescent="0.3">
      <c r="B17" s="5" t="str">
        <f t="shared" si="0"/>
        <v>Agressivo-HÍBRIDOS</v>
      </c>
      <c r="C17" s="24" t="s">
        <v>29</v>
      </c>
      <c r="D17" s="25" t="s">
        <v>24</v>
      </c>
      <c r="E17" s="27">
        <v>0.05</v>
      </c>
    </row>
    <row r="18" spans="2:5" ht="19.95" customHeight="1" x14ac:dyDescent="0.3">
      <c r="B18" s="5" t="str">
        <f t="shared" si="0"/>
        <v>Agressivo-FOFs</v>
      </c>
      <c r="C18" s="24" t="s">
        <v>29</v>
      </c>
      <c r="D18" s="25" t="s">
        <v>25</v>
      </c>
      <c r="E18" s="27">
        <v>0.05</v>
      </c>
    </row>
    <row r="19" spans="2:5" ht="19.95" customHeight="1" x14ac:dyDescent="0.3">
      <c r="B19" s="5" t="str">
        <f t="shared" si="0"/>
        <v>Agressivo-DESENVOLVIMENTO</v>
      </c>
      <c r="C19" s="24" t="s">
        <v>29</v>
      </c>
      <c r="D19" s="25" t="s">
        <v>26</v>
      </c>
      <c r="E19" s="27">
        <v>0.2</v>
      </c>
    </row>
    <row r="20" spans="2:5" ht="19.95" customHeight="1" x14ac:dyDescent="0.3">
      <c r="B20" s="5" t="str">
        <f t="shared" si="0"/>
        <v>Agressivo-HOTELARIAS</v>
      </c>
      <c r="C20" s="24" t="s">
        <v>29</v>
      </c>
      <c r="D20" s="33" t="s">
        <v>27</v>
      </c>
      <c r="E20" s="3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Plan2</vt:lpstr>
      <vt:lpstr>aporte</vt:lpstr>
      <vt:lpstr>perfil_valor</vt:lpstr>
      <vt:lpstr>qtd_anos</vt:lpstr>
      <vt:lpstr>rendimento_carteira</vt:lpstr>
      <vt:lpstr>salario</vt:lpstr>
      <vt:lpstr>taxa_mensal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P1a3_Z3r0_N1n63n</dc:creator>
  <cp:lastModifiedBy>P1a3_Z3r0_N1n63n</cp:lastModifiedBy>
  <dcterms:created xsi:type="dcterms:W3CDTF">2025-12-19T11:47:04Z</dcterms:created>
  <dcterms:modified xsi:type="dcterms:W3CDTF">2026-01-09T14:40:56Z</dcterms:modified>
</cp:coreProperties>
</file>